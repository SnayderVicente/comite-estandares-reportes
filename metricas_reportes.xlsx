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hecklist PR" sheetId="2" state="visible" r:id="rId2"/>
    <sheet name="Datos" sheetId="3" state="visible" r:id="rId3"/>
    <sheet name="Métricas" sheetId="4" state="visible" r:id="rId4"/>
    <sheet name="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BD5E1"/>
      <sz val="9"/>
    </font>
    <font>
      <name val="Arial"/>
      <b val="1"/>
      <color rgb="00475569"/>
      <sz val="9"/>
    </font>
    <font>
      <name val="Arial"/>
      <b val="1"/>
      <color rgb="000F172A"/>
      <sz val="24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64748B"/>
      <sz val="9"/>
    </font>
    <font>
      <name val="Arial"/>
      <b val="1"/>
      <color rgb="001E3A8A"/>
      <sz val="9"/>
    </font>
    <font>
      <name val="Arial"/>
      <b val="1"/>
      <color rgb="00166534"/>
      <sz val="11"/>
    </font>
    <font>
      <name val="Arial"/>
      <color rgb="001E293B"/>
      <sz val="9"/>
    </font>
    <font>
      <name val="Arial"/>
      <i val="1"/>
      <color rgb="0064748B"/>
      <sz val="9"/>
    </font>
    <font>
      <name val="Arial"/>
      <i val="1"/>
      <color rgb="0064748B"/>
      <sz val="8"/>
    </font>
    <font>
      <name val="Arial"/>
      <b val="1"/>
      <color rgb="001E3A8A"/>
      <sz val="11"/>
    </font>
    <font>
      <name val="Arial"/>
      <i val="1"/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3" fillId="0" borderId="1" pivotButton="0" quotePrefix="0" xfId="0"/>
    <xf numFmtId="0" fontId="3" fillId="9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2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left"/>
    </xf>
    <xf numFmtId="0" fontId="14" fillId="9" borderId="1" applyAlignment="1" pivotButton="0" quotePrefix="0" xfId="0">
      <alignment horizontal="right"/>
    </xf>
    <xf numFmtId="0" fontId="13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2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5" fontId="13" fillId="0" borderId="1" applyAlignment="1" pivotButton="0" quotePrefix="0" xfId="0">
      <alignment horizontal="center"/>
    </xf>
    <xf numFmtId="0" fontId="15" fillId="0" borderId="0" pivotButton="0" quotePrefix="0" xfId="0"/>
    <xf numFmtId="0" fontId="16" fillId="5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6" fillId="9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9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36" customHeight="1">
      <c r="A1" s="1" t="inlineStr">
        <is>
          <t>Dashboard de métricas</t>
        </is>
      </c>
    </row>
    <row r="2" ht="18" customHeight="1">
      <c r="A2" s="2" t="inlineStr">
        <is>
          <t>Resumen automático — se actualiza al llenar las hojas Checklist PR y Datos.</t>
        </is>
      </c>
    </row>
    <row r="4" ht="20" customHeight="1">
      <c r="A4" s="3" t="inlineStr">
        <is>
          <t>Ítems checklist</t>
        </is>
      </c>
      <c r="C4" s="3" t="inlineStr">
        <is>
          <t>Cumplen</t>
        </is>
      </c>
      <c r="D4" s="3" t="inlineStr">
        <is>
          <t>Pendientes</t>
        </is>
      </c>
      <c r="E4" s="3" t="inlineStr">
        <is>
          <t>% cumplimiento</t>
        </is>
      </c>
    </row>
    <row r="5" ht="42" customHeight="1">
      <c r="A5" s="4">
        <f>COUNTA('Checklist PR'!B5:B16)</f>
        <v/>
      </c>
      <c r="C5" s="4">
        <f>COUNTIF('Checklist PR'!D5:D16, "Cumple")</f>
        <v/>
      </c>
      <c r="D5" s="4">
        <f>COUNTIF('Checklist PR'!D5:D16, "Pendiente")</f>
        <v/>
      </c>
      <c r="E5" s="5">
        <f>C5/(C5+COUNTIF('Checklist PR'!D5:D16, "No cumple"))</f>
        <v/>
      </c>
    </row>
    <row r="7">
      <c r="A7" s="6" t="inlineStr">
        <is>
          <t>Estado del checklist</t>
        </is>
      </c>
      <c r="C7" s="6" t="inlineStr">
        <is>
          <t>Métricas clave</t>
        </is>
      </c>
    </row>
    <row r="8">
      <c r="A8" s="7" t="inlineStr">
        <is>
          <t>Estado</t>
        </is>
      </c>
      <c r="B8" s="7" t="inlineStr">
        <is>
          <t>Cantidad</t>
        </is>
      </c>
      <c r="C8" s="8" t="inlineStr">
        <is>
          <t>Métrica</t>
        </is>
      </c>
      <c r="D8" s="9" t="inlineStr">
        <is>
          <t>Valor</t>
        </is>
      </c>
      <c r="E8" s="9" t="inlineStr">
        <is>
          <t>Estado</t>
        </is>
      </c>
    </row>
    <row r="9">
      <c r="A9" s="10" t="inlineStr">
        <is>
          <t>Cumple</t>
        </is>
      </c>
      <c r="B9" s="11">
        <f>COUNTIF('Checklist PR'!D5:D16, "Cumple")</f>
        <v/>
      </c>
      <c r="C9" s="12" t="inlineStr">
        <is>
          <t>Reportes registrados</t>
        </is>
      </c>
      <c r="D9" s="11">
        <f>COUNTA(Datos!C6:C37)</f>
        <v/>
      </c>
      <c r="E9" s="13" t="inlineStr">
        <is>
          <t>Informativo</t>
        </is>
      </c>
    </row>
    <row r="10">
      <c r="A10" s="14" t="inlineStr">
        <is>
          <t>No cumple</t>
        </is>
      </c>
      <c r="B10" s="11">
        <f>COUNTIF('Checklist PR'!D5:D16, "No cumple")</f>
        <v/>
      </c>
      <c r="C10" s="12" t="inlineStr">
        <is>
          <t>Total de registros exportados</t>
        </is>
      </c>
      <c r="D10" s="11">
        <f>SUM(Datos!E6:E37)</f>
        <v/>
      </c>
      <c r="E10" s="13" t="inlineStr">
        <is>
          <t>Informativo</t>
        </is>
      </c>
    </row>
    <row r="11">
      <c r="A11" s="15" t="inlineStr">
        <is>
          <t>Pendiente</t>
        </is>
      </c>
      <c r="B11" s="11">
        <f>COUNTIF('Checklist PR'!D5:D16, "Pendiente")</f>
        <v/>
      </c>
      <c r="C11" s="12" t="inlineStr">
        <is>
          <t>Tiempo promedio de generación</t>
        </is>
      </c>
      <c r="D11" s="11">
        <f>TEXT(AVERAGE(Datos!F6:F37), "0.00") &amp; " s"</f>
        <v/>
      </c>
      <c r="E11" s="10" t="inlineStr">
        <is>
          <t>Cumple</t>
        </is>
      </c>
    </row>
    <row r="12">
      <c r="A12" s="16" t="inlineStr">
        <is>
          <t>NA</t>
        </is>
      </c>
      <c r="B12" s="11">
        <f>COUNTIF('Checklist PR'!D5:D16, "NA")</f>
        <v/>
      </c>
      <c r="C12" s="12" t="inlineStr">
        <is>
          <t>Tiempo máximo</t>
        </is>
      </c>
      <c r="D12" s="11">
        <f>TEXT(MAX(Datos!F6:F37), "0.00") &amp; " s"</f>
        <v/>
      </c>
      <c r="E12" s="10" t="inlineStr">
        <is>
          <t>Cumple</t>
        </is>
      </c>
    </row>
    <row r="13">
      <c r="C13" s="12" t="inlineStr">
        <is>
          <t>Tamaño promedio de archivo</t>
        </is>
      </c>
      <c r="D13" s="11">
        <f>TEXT(AVERAGE(Datos!G6:G37), "0.0") &amp; " KB"</f>
        <v/>
      </c>
      <c r="E13" s="10" t="inlineStr">
        <is>
          <t>Cumple</t>
        </is>
      </c>
    </row>
    <row r="14">
      <c r="A14" s="17" t="inlineStr">
        <is>
          <t>Estado global</t>
        </is>
      </c>
      <c r="C14" s="12" t="inlineStr">
        <is>
          <t>Tasa de éxito</t>
        </is>
      </c>
      <c r="D14" s="18">
        <f>COUNTIF(Datos!H6:H37, "OK")/(COUNTIF(Datos!H6:H37, "OK")+COUNTIF(Datos!H6:H37, "Error"))</f>
        <v/>
      </c>
      <c r="E14" s="10" t="inlineStr">
        <is>
          <t>Cumple</t>
        </is>
      </c>
    </row>
    <row r="15" ht="28" customHeight="1">
      <c r="A15" s="19">
        <f>IF(C5=12, "CUMPLE EL ESTÁNDAR", IF(D5&gt;0, "EN REVISIÓN", "OBSERVADO"))</f>
        <v/>
      </c>
      <c r="C15" s="12" t="inlineStr">
        <is>
          <t>Cumplimiento del checklist PR</t>
        </is>
      </c>
      <c r="D15" s="18">
        <f>E5</f>
        <v/>
      </c>
      <c r="E15" s="10" t="inlineStr">
        <is>
          <t>Cumple</t>
        </is>
      </c>
    </row>
    <row r="16">
      <c r="C16" s="12" t="inlineStr">
        <is>
          <t>Avance de revisión del checklist</t>
        </is>
      </c>
      <c r="D16" s="18">
        <f>(B9+B10)/(B9+B10+B11)</f>
        <v/>
      </c>
      <c r="E16" s="10" t="inlineStr">
        <is>
          <t>Cumple</t>
        </is>
      </c>
    </row>
  </sheetData>
  <mergeCells count="8">
    <mergeCell ref="A4:B4"/>
    <mergeCell ref="A1:G1"/>
    <mergeCell ref="A15:B15"/>
    <mergeCell ref="A7:B7"/>
    <mergeCell ref="A5:B5"/>
    <mergeCell ref="A2:G2"/>
    <mergeCell ref="A14:B14"/>
    <mergeCell ref="C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4" customWidth="1" min="4" max="4"/>
    <col width="48" customWidth="1" min="5" max="5"/>
    <col width="16" customWidth="1" min="6" max="6"/>
    <col width="14" customWidth="1" min="7" max="7"/>
    <col width="36" customWidth="1" min="8" max="8"/>
  </cols>
  <sheetData>
    <row r="1" ht="36" customHeight="1">
      <c r="A1" s="1" t="inlineStr">
        <is>
          <t>Checklist antes de un PR</t>
        </is>
      </c>
    </row>
    <row r="2" ht="18" customHeight="1">
      <c r="A2" s="2" t="inlineStr">
        <is>
          <t>Plantilla: elige el estado en la lista desplegable. Si no hay dato, queda en NA.</t>
        </is>
      </c>
    </row>
    <row r="4" ht="24" customHeight="1">
      <c r="A4" s="20" t="inlineStr">
        <is>
          <t>#</t>
        </is>
      </c>
      <c r="B4" s="21" t="inlineStr">
        <is>
          <t>Ítem</t>
        </is>
      </c>
      <c r="C4" s="20" t="inlineStr">
        <is>
          <t>Referencia</t>
        </is>
      </c>
      <c r="D4" s="20" t="inlineStr">
        <is>
          <t>Estado</t>
        </is>
      </c>
      <c r="E4" s="21" t="inlineStr">
        <is>
          <t>Evidencia</t>
        </is>
      </c>
      <c r="F4" s="21" t="inlineStr">
        <is>
          <t>Responsable</t>
        </is>
      </c>
      <c r="G4" s="20" t="inlineStr">
        <is>
          <t>Fecha</t>
        </is>
      </c>
      <c r="H4" s="21" t="inlineStr">
        <is>
          <t>Observaciones</t>
        </is>
      </c>
    </row>
    <row r="5" ht="22" customHeight="1">
      <c r="A5" s="22" t="n">
        <v>1</v>
      </c>
      <c r="B5" s="12" t="inlineStr">
        <is>
          <t>Formato elegido según la audiencia y justificado</t>
        </is>
      </c>
      <c r="C5" s="22" t="inlineStr">
        <is>
          <t>§3 / 02-formatos</t>
        </is>
      </c>
      <c r="D5" s="10" t="inlineStr">
        <is>
          <t>Cumple</t>
        </is>
      </c>
      <c r="E5" s="12" t="inlineStr">
        <is>
          <t>TherapyController.java: comprobantes clínicos en PDF inmutable; auditoría de precios en Excel/CSV.</t>
        </is>
      </c>
      <c r="F5" s="22" t="inlineStr">
        <is>
          <t>Comité Estándar</t>
        </is>
      </c>
      <c r="G5" s="22" t="inlineStr">
        <is>
          <t>2026-10-06</t>
        </is>
      </c>
      <c r="H5" s="12" t="inlineStr">
        <is>
          <t>Formatos alineados a la audiencia clínica y contable</t>
        </is>
      </c>
    </row>
    <row r="6" ht="22" customHeight="1">
      <c r="A6" s="22" t="n">
        <v>2</v>
      </c>
      <c r="B6" s="12" t="inlineStr">
        <is>
          <t>Lazy import de jspdf / xlsx (nada de PDF/Excel en el bundle inicial)</t>
        </is>
      </c>
      <c r="C6" s="22" t="inlineStr">
        <is>
          <t>§5 · §7</t>
        </is>
      </c>
      <c r="D6" s="10" t="inlineStr">
        <is>
          <t>Cumple</t>
        </is>
      </c>
      <c r="E6" s="12" t="inlineStr">
        <is>
          <t>vg-web-sigrc: dynamic imports import('jspdf').then(...) para evitar sobrecargar vendor bundle inicial.</t>
        </is>
      </c>
      <c r="F6" s="22" t="inlineStr">
        <is>
          <t>Front Lead</t>
        </is>
      </c>
      <c r="G6" s="22" t="inlineStr">
        <is>
          <t>2026-10-06</t>
        </is>
      </c>
      <c r="H6" s="12" t="inlineStr">
        <is>
          <t>Bundle optimizado con chunks asíncronos</t>
        </is>
      </c>
    </row>
    <row r="7" ht="22" customHeight="1">
      <c r="A7" s="22" t="n">
        <v>3</v>
      </c>
      <c r="B7" s="12" t="inlineStr">
        <is>
          <t>Nombre de archivo con el patrón definido</t>
        </is>
      </c>
      <c r="C7" s="22" t="inlineStr">
        <is>
          <t>§6.4</t>
        </is>
      </c>
      <c r="D7" s="10" t="inlineStr">
        <is>
          <t>Cumple</t>
        </is>
      </c>
      <c r="E7" s="12" t="inlineStr">
        <is>
          <t>TicketApplicationService.java#L43: String.format('%s-%s-%06d', PREFIX, today, seq.getSequence())</t>
        </is>
      </c>
      <c r="F7" s="22" t="inlineStr">
        <is>
          <t>Backend Lead</t>
        </is>
      </c>
      <c r="G7" s="22" t="inlineStr">
        <is>
          <t>2026-10-06</t>
        </is>
      </c>
      <c r="H7" s="12" t="inlineStr">
        <is>
          <t>Nomenclatura TRAT-YYYY-MM-DD-###### validada</t>
        </is>
      </c>
    </row>
    <row r="8" ht="22" customHeight="1">
      <c r="A8" s="22" t="n">
        <v>4</v>
      </c>
      <c r="B8" s="12" t="inlineStr">
        <is>
          <t>Endpoint fuente documentado</t>
        </is>
      </c>
      <c r="C8" s="22" t="inlineStr">
        <is>
          <t>§8 / 05-operaciones</t>
        </is>
      </c>
      <c r="D8" s="10" t="inlineStr">
        <is>
          <t>Cumple</t>
        </is>
      </c>
      <c r="E8" s="12" t="inlineStr">
        <is>
          <t>SecurityConfig.java#L32-34: SWAGGER_PATHS (/v3/api-docs/**, /swagger-ui/**) públicos</t>
        </is>
      </c>
      <c r="F8" s="22" t="inlineStr">
        <is>
          <t>Backend Dev</t>
        </is>
      </c>
      <c r="G8" s="22" t="inlineStr">
        <is>
          <t>2026-10-06</t>
        </is>
      </c>
      <c r="H8" s="12" t="inlineStr">
        <is>
          <t>Documentación accesible en Swagger UI</t>
        </is>
      </c>
    </row>
    <row r="9" ht="22" customHeight="1">
      <c r="A9" s="22" t="n">
        <v>5</v>
      </c>
      <c r="B9" s="12" t="inlineStr">
        <is>
          <t>Filtros de pantalla reflejados en la exportación</t>
        </is>
      </c>
      <c r="C9" s="22" t="inlineStr">
        <is>
          <t>§8</t>
        </is>
      </c>
      <c r="D9" s="10" t="inlineStr">
        <is>
          <t>Cumple</t>
        </is>
      </c>
      <c r="E9" s="12" t="inlineStr">
        <is>
          <t>TreatmentController.java#L35-49: parámetros organizationId, page, size mapeados en flux</t>
        </is>
      </c>
      <c r="F9" s="22" t="inlineStr">
        <is>
          <t>Fullstack Dev</t>
        </is>
      </c>
      <c r="G9" s="22" t="inlineStr">
        <is>
          <t>2026-10-06</t>
        </is>
      </c>
      <c r="H9" s="12" t="inlineStr">
        <is>
          <t>Sincronización exacta entre filtro y exportación</t>
        </is>
      </c>
    </row>
    <row r="10" ht="22" customHeight="1">
      <c r="A10" s="22" t="n">
        <v>6</v>
      </c>
      <c r="B10" s="12" t="inlineStr">
        <is>
          <t>Botón deshabilitado sin datos; spinner durante la generación</t>
        </is>
      </c>
      <c r="C10" s="22" t="inlineStr">
        <is>
          <t>§7</t>
        </is>
      </c>
      <c r="D10" s="10" t="inlineStr">
        <is>
          <t>Cumple</t>
        </is>
      </c>
      <c r="E10" s="12" t="inlineStr">
        <is>
          <t>vg-web-sigrc/ui/button: [disabled]='loading || count === 0' con spinner reactivo integrado</t>
        </is>
      </c>
      <c r="F10" s="22" t="inlineStr">
        <is>
          <t>Frontend Team</t>
        </is>
      </c>
      <c r="G10" s="22" t="inlineStr">
        <is>
          <t>2026-10-06</t>
        </is>
      </c>
      <c r="H10" s="12" t="inlineStr">
        <is>
          <t>Previene descargas vacías y peticiones duplicadas</t>
        </is>
      </c>
    </row>
    <row r="11" ht="22" customHeight="1">
      <c r="A11" s="22" t="n">
        <v>7</v>
      </c>
      <c r="B11" s="12" t="inlineStr">
        <is>
          <t>Fechas ISO-8601 y montos sin Double/Float</t>
        </is>
      </c>
      <c r="C11" s="22" t="inlineStr">
        <is>
          <t>§5 · §8</t>
        </is>
      </c>
      <c r="D11" s="10" t="inlineStr">
        <is>
          <t>Cumple</t>
        </is>
      </c>
      <c r="E11" s="12" t="inlineStr">
        <is>
          <t>TherapyPrice.java#L7-20: 'BigDecimal price' para montos, 'LocalDateTime' UTC ISO-8601</t>
        </is>
      </c>
      <c r="F11" s="22" t="inlineStr">
        <is>
          <t>Backend Lead</t>
        </is>
      </c>
      <c r="G11" s="22" t="inlineStr">
        <is>
          <t>2026-10-06</t>
        </is>
      </c>
      <c r="H11" s="12" t="inlineStr">
        <is>
          <t>Cero uso de float/double para montos financieros</t>
        </is>
      </c>
    </row>
    <row r="12" ht="22" customHeight="1">
      <c r="A12" s="22" t="n">
        <v>8</v>
      </c>
      <c r="B12" s="12" t="inlineStr">
        <is>
          <t>PDF externo con encabezado institucional y pie de paginación</t>
        </is>
      </c>
      <c r="C12" s="22" t="inlineStr">
        <is>
          <t>§7 · §14</t>
        </is>
      </c>
      <c r="D12" s="10" t="inlineStr">
        <is>
          <t>Cumple</t>
        </is>
      </c>
      <c r="E12" s="12" t="inlineStr">
        <is>
          <t>Plantilla Comprobante_TRAT-*.pdf: logo Valle Grande, RUC, paginación dinámica y fecha de emisión</t>
        </is>
      </c>
      <c r="F12" s="22" t="inlineStr">
        <is>
          <t>Design Team</t>
        </is>
      </c>
      <c r="G12" s="22" t="inlineStr">
        <is>
          <t>2026-10-06</t>
        </is>
      </c>
      <c r="H12" s="12" t="inlineStr">
        <is>
          <t>Presentación corporativa estandarizada</t>
        </is>
      </c>
    </row>
    <row r="13" ht="22" customHeight="1">
      <c r="A13" s="22" t="n">
        <v>9</v>
      </c>
      <c r="B13" s="12" t="inlineStr">
        <is>
          <t>Descarga protegida con JWT y permiso reports:export</t>
        </is>
      </c>
      <c r="C13" s="22" t="inlineStr">
        <is>
          <t>§11 · §13</t>
        </is>
      </c>
      <c r="D13" s="10" t="inlineStr">
        <is>
          <t>Cumple</t>
        </is>
      </c>
      <c r="E13" s="12" t="inlineStr">
        <is>
          <t>SecurityConfig.java#L57-59: OAuth2 Resource Server con filtro JWT habilitado</t>
        </is>
      </c>
      <c r="F13" s="22" t="inlineStr">
        <is>
          <t>Security Lead</t>
        </is>
      </c>
      <c r="G13" s="22" t="inlineStr">
        <is>
          <t>2026-10-06</t>
        </is>
      </c>
      <c r="H13" s="12" t="inlineStr">
        <is>
          <t>Aislamiento multi-tenant y validación criptográfica</t>
        </is>
      </c>
    </row>
    <row r="14" ht="22" customHeight="1">
      <c r="A14" s="22" t="n">
        <v>10</v>
      </c>
      <c r="B14" s="12" t="inlineStr">
        <is>
          <t>Server-side solo con justificación y sin motores prohibidos</t>
        </is>
      </c>
      <c r="C14" s="22" t="inlineStr">
        <is>
          <t>§2 · §5</t>
        </is>
      </c>
      <c r="D14" s="10" t="inlineStr">
        <is>
          <t>Cumple</t>
        </is>
      </c>
      <c r="E14" s="12" t="inlineStr">
        <is>
          <t>pom.xml: WebFlux reactivo activo; 0 motores bloqueantes (Jasper/POI excluidos)</t>
        </is>
      </c>
      <c r="F14" s="22" t="inlineStr">
        <is>
          <t>Arquitecto SW</t>
        </is>
      </c>
      <c r="G14" s="22" t="inlineStr">
        <is>
          <t>2026-10-06</t>
        </is>
      </c>
      <c r="H14" s="12" t="inlineStr">
        <is>
          <t>Arquitectura reactiva no bloqueante preservada</t>
        </is>
      </c>
    </row>
    <row r="15" ht="22" customHeight="1">
      <c r="A15" s="22" t="n">
        <v>11</v>
      </c>
      <c r="B15" s="12" t="inlineStr">
        <is>
          <t>Patrón de plantilla/recursos elegido (A, B o C)</t>
        </is>
      </c>
      <c r="C15" s="22" t="inlineStr">
        <is>
          <t>§16</t>
        </is>
      </c>
      <c r="D15" s="10" t="inlineStr">
        <is>
          <t>Cumple</t>
        </is>
      </c>
      <c r="E15" s="12" t="inlineStr">
        <is>
          <t>Doc Arquitectura PRS04: Patrón A (Cliente con plantillas JSON) + Patrón C (Flux streaming masivo)</t>
        </is>
      </c>
      <c r="F15" s="22" t="inlineStr">
        <is>
          <t>Arquitecto SW</t>
        </is>
      </c>
      <c r="G15" s="22" t="inlineStr">
        <is>
          <t>2026-10-06</t>
        </is>
      </c>
      <c r="H15" s="12" t="inlineStr">
        <is>
          <t>Patrón formalizado en diseño técnico</t>
        </is>
      </c>
    </row>
    <row r="16" ht="22" customHeight="1">
      <c r="A16" s="22" t="n">
        <v>12</v>
      </c>
      <c r="B16" s="12" t="inlineStr">
        <is>
          <t>Servicio de reporte con pruebas de estructura y naming</t>
        </is>
      </c>
      <c r="C16" s="22" t="inlineStr">
        <is>
          <t>§18</t>
        </is>
      </c>
      <c r="D16" s="10" t="inlineStr">
        <is>
          <t>Cumple</t>
        </is>
      </c>
      <c r="E16" s="12" t="inlineStr">
        <is>
          <t>src/test: 5 clases de prueba unitarias e integracion ejecutadas en CI</t>
        </is>
      </c>
      <c r="F16" s="22" t="inlineStr">
        <is>
          <t>QA Lead</t>
        </is>
      </c>
      <c r="G16" s="22" t="inlineStr">
        <is>
          <t>2026-10-06</t>
        </is>
      </c>
      <c r="H16" s="12" t="inlineStr">
        <is>
          <t>Pruebas automáticas integradas en pipeline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 ht="36" customHeight="1">
      <c r="A1" s="1" t="inlineStr">
        <is>
          <t>Registro de datos (base de métricas)</t>
        </is>
      </c>
    </row>
    <row r="2" ht="18" customHeight="1">
      <c r="A2" s="2" t="inlineStr">
        <is>
          <t>Cada fila = un reporte/exportación. Celdas en azul = editables. Sin dato -&gt; NA. La fila 5 (gris) es solo un ejemplo y no cuenta en las métricas.</t>
        </is>
      </c>
    </row>
    <row r="4" ht="24" customHeight="1">
      <c r="A4" s="20" t="inlineStr">
        <is>
          <t>ID</t>
        </is>
      </c>
      <c r="B4" s="20" t="inlineStr">
        <is>
          <t>Fecha</t>
        </is>
      </c>
      <c r="C4" s="21" t="inlineStr">
        <is>
          <t>Reporte</t>
        </is>
      </c>
      <c r="D4" s="20" t="inlineStr">
        <is>
          <t>Formato</t>
        </is>
      </c>
      <c r="E4" s="23" t="inlineStr">
        <is>
          <t>Registros</t>
        </is>
      </c>
      <c r="F4" s="23" t="inlineStr">
        <is>
          <t>Tiempo (seg)</t>
        </is>
      </c>
      <c r="G4" s="23" t="inlineStr">
        <is>
          <t>Tamaño (KB)</t>
        </is>
      </c>
      <c r="H4" s="20" t="inlineStr">
        <is>
          <t>Resultado</t>
        </is>
      </c>
    </row>
    <row r="5" ht="20" customHeight="1">
      <c r="A5" s="24" t="inlineStr">
        <is>
          <t>EJEMPLO</t>
        </is>
      </c>
      <c r="B5" s="24" t="inlineStr">
        <is>
          <t>2026-10-06</t>
        </is>
      </c>
      <c r="C5" s="25" t="inlineStr">
        <is>
          <t>Ventas mensuales</t>
        </is>
      </c>
      <c r="D5" s="24" t="inlineStr">
        <is>
          <t>PDF</t>
        </is>
      </c>
      <c r="E5" s="26" t="n">
        <v>1250</v>
      </c>
      <c r="F5" s="26" t="n">
        <v>3.2</v>
      </c>
      <c r="G5" s="26" t="n">
        <v>480</v>
      </c>
      <c r="H5" s="24" t="inlineStr">
        <is>
          <t>OK</t>
        </is>
      </c>
    </row>
    <row r="6" ht="20" customHeight="1">
      <c r="A6" s="22" t="inlineStr">
        <is>
          <t>R-001</t>
        </is>
      </c>
      <c r="B6" s="22" t="inlineStr">
        <is>
          <t>2026-10-06</t>
        </is>
      </c>
      <c r="C6" s="27" t="inlineStr">
        <is>
          <t>Comprobante Tratamiento TRAT-000001</t>
        </is>
      </c>
      <c r="D6" s="22" t="inlineStr">
        <is>
          <t>PDF</t>
        </is>
      </c>
      <c r="E6" s="28" t="n">
        <v>1</v>
      </c>
      <c r="F6" s="28" t="n">
        <v>0.85</v>
      </c>
      <c r="G6" s="28" t="n">
        <v>142</v>
      </c>
      <c r="H6" s="29" t="inlineStr">
        <is>
          <t>OK</t>
        </is>
      </c>
    </row>
    <row r="7" ht="20" customHeight="1">
      <c r="A7" s="22" t="inlineStr">
        <is>
          <t>R-002</t>
        </is>
      </c>
      <c r="B7" s="22" t="inlineStr">
        <is>
          <t>2026-10-06</t>
        </is>
      </c>
      <c r="C7" s="27" t="inlineStr">
        <is>
          <t>Comprobante Tratamiento TRAT-000002</t>
        </is>
      </c>
      <c r="D7" s="22" t="inlineStr">
        <is>
          <t>PDF</t>
        </is>
      </c>
      <c r="E7" s="28" t="n">
        <v>1</v>
      </c>
      <c r="F7" s="28" t="n">
        <v>0.72</v>
      </c>
      <c r="G7" s="28" t="n">
        <v>145</v>
      </c>
      <c r="H7" s="29" t="inlineStr">
        <is>
          <t>OK</t>
        </is>
      </c>
    </row>
    <row r="8" ht="20" customHeight="1">
      <c r="A8" s="22" t="inlineStr">
        <is>
          <t>R-003</t>
        </is>
      </c>
      <c r="B8" s="22" t="inlineStr">
        <is>
          <t>2026-10-06</t>
        </is>
      </c>
      <c r="C8" s="27" t="inlineStr">
        <is>
          <t>Comprobante Tratamiento TRAT-000003</t>
        </is>
      </c>
      <c r="D8" s="22" t="inlineStr">
        <is>
          <t>PDF</t>
        </is>
      </c>
      <c r="E8" s="28" t="n">
        <v>1</v>
      </c>
      <c r="F8" s="28" t="n">
        <v>0.9</v>
      </c>
      <c r="G8" s="28" t="n">
        <v>148</v>
      </c>
      <c r="H8" s="29" t="inlineStr">
        <is>
          <t>OK</t>
        </is>
      </c>
    </row>
    <row r="9" ht="20" customHeight="1">
      <c r="A9" s="22" t="inlineStr">
        <is>
          <t>R-004</t>
        </is>
      </c>
      <c r="B9" s="22" t="inlineStr">
        <is>
          <t>2026-10-06</t>
        </is>
      </c>
      <c r="C9" s="27" t="inlineStr">
        <is>
          <t>Catálogo de Terapias Activas</t>
        </is>
      </c>
      <c r="D9" s="22" t="inlineStr">
        <is>
          <t>Excel</t>
        </is>
      </c>
      <c r="E9" s="28" t="n">
        <v>85</v>
      </c>
      <c r="F9" s="28" t="n">
        <v>1.15</v>
      </c>
      <c r="G9" s="28" t="n">
        <v>215</v>
      </c>
      <c r="H9" s="29" t="inlineStr">
        <is>
          <t>OK</t>
        </is>
      </c>
    </row>
    <row r="10" ht="20" customHeight="1">
      <c r="A10" s="22" t="inlineStr">
        <is>
          <t>R-005</t>
        </is>
      </c>
      <c r="B10" s="22" t="inlineStr">
        <is>
          <t>2026-10-06</t>
        </is>
      </c>
      <c r="C10" s="27" t="inlineStr">
        <is>
          <t>Listado de Precios por Especialidad</t>
        </is>
      </c>
      <c r="D10" s="22" t="inlineStr">
        <is>
          <t>Excel</t>
        </is>
      </c>
      <c r="E10" s="28" t="n">
        <v>120</v>
      </c>
      <c r="F10" s="28" t="n">
        <v>1.34</v>
      </c>
      <c r="G10" s="28" t="n">
        <v>260</v>
      </c>
      <c r="H10" s="29" t="inlineStr">
        <is>
          <t>OK</t>
        </is>
      </c>
    </row>
    <row r="11" ht="20" customHeight="1">
      <c r="A11" s="22" t="inlineStr">
        <is>
          <t>R-006</t>
        </is>
      </c>
      <c r="B11" s="22" t="inlineStr">
        <is>
          <t>2026-10-06</t>
        </is>
      </c>
      <c r="C11" s="27" t="inlineStr">
        <is>
          <t>Comprobante Tratamiento TRAT-000004</t>
        </is>
      </c>
      <c r="D11" s="22" t="inlineStr">
        <is>
          <t>PDF</t>
        </is>
      </c>
      <c r="E11" s="28" t="n">
        <v>1</v>
      </c>
      <c r="F11" s="28" t="n">
        <v>0.78</v>
      </c>
      <c r="G11" s="28" t="n">
        <v>144</v>
      </c>
      <c r="H11" s="29" t="inlineStr">
        <is>
          <t>OK</t>
        </is>
      </c>
    </row>
    <row r="12" ht="20" customHeight="1">
      <c r="A12" s="22" t="inlineStr">
        <is>
          <t>R-007</t>
        </is>
      </c>
      <c r="B12" s="22" t="inlineStr">
        <is>
          <t>2026-10-06</t>
        </is>
      </c>
      <c r="C12" s="27" t="inlineStr">
        <is>
          <t>Auditoría de Tratamientos por Organización</t>
        </is>
      </c>
      <c r="D12" s="22" t="inlineStr">
        <is>
          <t>CSV</t>
        </is>
      </c>
      <c r="E12" s="28" t="n">
        <v>450</v>
      </c>
      <c r="F12" s="28" t="n">
        <v>0.55</v>
      </c>
      <c r="G12" s="28" t="n">
        <v>88</v>
      </c>
      <c r="H12" s="29" t="inlineStr">
        <is>
          <t>OK</t>
        </is>
      </c>
    </row>
    <row r="13" ht="20" customHeight="1">
      <c r="A13" s="22" t="inlineStr">
        <is>
          <t>R-008</t>
        </is>
      </c>
      <c r="B13" s="22" t="inlineStr">
        <is>
          <t>2026-10-06</t>
        </is>
      </c>
      <c r="C13" s="27" t="inlineStr">
        <is>
          <t>Comprobante Tratamiento TRAT-000005</t>
        </is>
      </c>
      <c r="D13" s="22" t="inlineStr">
        <is>
          <t>PDF</t>
        </is>
      </c>
      <c r="E13" s="28" t="n">
        <v>1</v>
      </c>
      <c r="F13" s="28" t="n">
        <v>0.8100000000000001</v>
      </c>
      <c r="G13" s="28" t="n">
        <v>146</v>
      </c>
      <c r="H13" s="29" t="inlineStr">
        <is>
          <t>OK</t>
        </is>
      </c>
    </row>
    <row r="14" ht="20" customHeight="1">
      <c r="A14" s="22" t="inlineStr">
        <is>
          <t>R-009</t>
        </is>
      </c>
      <c r="B14" s="22" t="inlineStr">
        <is>
          <t>2026-10-06</t>
        </is>
      </c>
      <c r="C14" s="27" t="inlineStr">
        <is>
          <t>Kits de Laboratorio por Especialidad</t>
        </is>
      </c>
      <c r="D14" s="22" t="inlineStr">
        <is>
          <t>Excel</t>
        </is>
      </c>
      <c r="E14" s="28" t="n">
        <v>65</v>
      </c>
      <c r="F14" s="28" t="n">
        <v>0.92</v>
      </c>
      <c r="G14" s="28" t="n">
        <v>190</v>
      </c>
      <c r="H14" s="29" t="inlineStr">
        <is>
          <t>OK</t>
        </is>
      </c>
    </row>
    <row r="15" ht="20" customHeight="1">
      <c r="A15" s="22" t="inlineStr">
        <is>
          <t>R-010</t>
        </is>
      </c>
      <c r="B15" s="22" t="inlineStr">
        <is>
          <t>2026-10-06</t>
        </is>
      </c>
      <c r="C15" s="27" t="inlineStr">
        <is>
          <t>Exportación de Pruebas Clínicas</t>
        </is>
      </c>
      <c r="D15" s="22" t="inlineStr">
        <is>
          <t>CSV</t>
        </is>
      </c>
      <c r="E15" s="28" t="n">
        <v>310</v>
      </c>
      <c r="F15" s="28" t="n">
        <v>0.48</v>
      </c>
      <c r="G15" s="28" t="n">
        <v>72</v>
      </c>
      <c r="H15" s="29" t="inlineStr">
        <is>
          <t>OK</t>
        </is>
      </c>
    </row>
    <row r="16" ht="20" customHeight="1">
      <c r="A16" s="22" t="inlineStr">
        <is>
          <t>R-011</t>
        </is>
      </c>
      <c r="B16" s="22" t="inlineStr">
        <is>
          <t>2026-10-06</t>
        </is>
      </c>
      <c r="C16" s="27" t="inlineStr">
        <is>
          <t>Comprobante Tratamiento TRAT-000006</t>
        </is>
      </c>
      <c r="D16" s="22" t="inlineStr">
        <is>
          <t>PDF</t>
        </is>
      </c>
      <c r="E16" s="28" t="n">
        <v>1</v>
      </c>
      <c r="F16" s="28" t="n">
        <v>0.74</v>
      </c>
      <c r="G16" s="28" t="n">
        <v>143</v>
      </c>
      <c r="H16" s="29" t="inlineStr">
        <is>
          <t>OK</t>
        </is>
      </c>
    </row>
    <row r="17" ht="20" customHeight="1">
      <c r="A17" s="22" t="inlineStr">
        <is>
          <t>R-012</t>
        </is>
      </c>
      <c r="B17" s="22" t="inlineStr">
        <is>
          <t>2026-10-06</t>
        </is>
      </c>
      <c r="C17" s="27" t="inlineStr">
        <is>
          <t>Reporte Consolidado de Pacientes</t>
        </is>
      </c>
      <c r="D17" s="22" t="inlineStr">
        <is>
          <t>PDF</t>
        </is>
      </c>
      <c r="E17" s="28" t="n">
        <v>45</v>
      </c>
      <c r="F17" s="28" t="n">
        <v>1.85</v>
      </c>
      <c r="G17" s="28" t="n">
        <v>380</v>
      </c>
      <c r="H17" s="29" t="inlineStr">
        <is>
          <t>OK</t>
        </is>
      </c>
    </row>
    <row r="18" ht="20" customHeight="1">
      <c r="A18" s="22" t="inlineStr">
        <is>
          <t>R-013</t>
        </is>
      </c>
      <c r="B18" s="22" t="inlineStr">
        <is>
          <t>2026-10-06</t>
        </is>
      </c>
      <c r="C18" s="27" t="inlineStr">
        <is>
          <t>Comprobante Tratamiento TRAT-000007</t>
        </is>
      </c>
      <c r="D18" s="22" t="inlineStr">
        <is>
          <t>PDF</t>
        </is>
      </c>
      <c r="E18" s="28" t="n">
        <v>1</v>
      </c>
      <c r="F18" s="28" t="n">
        <v>0.79</v>
      </c>
      <c r="G18" s="28" t="n">
        <v>144</v>
      </c>
      <c r="H18" s="29" t="inlineStr">
        <is>
          <t>OK</t>
        </is>
      </c>
    </row>
    <row r="19" ht="20" customHeight="1">
      <c r="A19" s="22" t="inlineStr">
        <is>
          <t>R-014</t>
        </is>
      </c>
      <c r="B19" s="22" t="inlineStr">
        <is>
          <t>2026-10-06</t>
        </is>
      </c>
      <c r="C19" s="27" t="inlineStr">
        <is>
          <t>Historial de Tarifas de Terapias</t>
        </is>
      </c>
      <c r="D19" s="22" t="inlineStr">
        <is>
          <t>Excel</t>
        </is>
      </c>
      <c r="E19" s="28" t="n">
        <v>180</v>
      </c>
      <c r="F19" s="28" t="n">
        <v>1.45</v>
      </c>
      <c r="G19" s="28" t="n">
        <v>310</v>
      </c>
      <c r="H19" s="29" t="inlineStr">
        <is>
          <t>OK</t>
        </is>
      </c>
    </row>
    <row r="20" ht="20" customHeight="1">
      <c r="A20" s="22" t="inlineStr">
        <is>
          <t>R-015</t>
        </is>
      </c>
      <c r="B20" s="22" t="inlineStr">
        <is>
          <t>2026-10-06</t>
        </is>
      </c>
      <c r="C20" s="27" t="inlineStr">
        <is>
          <t>Comprobante Tratamiento TRAT-000008</t>
        </is>
      </c>
      <c r="D20" s="22" t="inlineStr">
        <is>
          <t>PDF</t>
        </is>
      </c>
      <c r="E20" s="28" t="n">
        <v>1</v>
      </c>
      <c r="F20" s="28" t="n">
        <v>0.82</v>
      </c>
      <c r="G20" s="28" t="n">
        <v>147</v>
      </c>
      <c r="H20" s="29" t="inlineStr">
        <is>
          <t>OK</t>
        </is>
      </c>
    </row>
    <row r="21" ht="20" customHeight="1">
      <c r="A21" s="22" t="inlineStr">
        <is>
          <t>R-016</t>
        </is>
      </c>
      <c r="B21" s="22" t="inlineStr">
        <is>
          <t>2026-10-06</t>
        </is>
      </c>
      <c r="C21" s="27" t="inlineStr">
        <is>
          <t>Exportación de Transacciones Diarias</t>
        </is>
      </c>
      <c r="D21" s="22" t="inlineStr">
        <is>
          <t>CSV</t>
        </is>
      </c>
      <c r="E21" s="28" t="n">
        <v>520</v>
      </c>
      <c r="F21" s="28" t="n">
        <v>0.62</v>
      </c>
      <c r="G21" s="28" t="n">
        <v>105</v>
      </c>
      <c r="H21" s="29" t="inlineStr">
        <is>
          <t>OK</t>
        </is>
      </c>
    </row>
    <row r="22" ht="20" customHeight="1">
      <c r="A22" s="22" t="inlineStr">
        <is>
          <t>R-017</t>
        </is>
      </c>
      <c r="B22" s="22" t="inlineStr">
        <is>
          <t>2026-10-06</t>
        </is>
      </c>
      <c r="C22" s="27" t="inlineStr">
        <is>
          <t>Comprobante Tratamiento TRAT-000009</t>
        </is>
      </c>
      <c r="D22" s="22" t="inlineStr">
        <is>
          <t>PDF</t>
        </is>
      </c>
      <c r="E22" s="28" t="n">
        <v>1</v>
      </c>
      <c r="F22" s="28" t="n">
        <v>0.76</v>
      </c>
      <c r="G22" s="28" t="n">
        <v>143</v>
      </c>
      <c r="H22" s="29" t="inlineStr">
        <is>
          <t>OK</t>
        </is>
      </c>
    </row>
    <row r="23" ht="20" customHeight="1">
      <c r="A23" s="22" t="inlineStr">
        <is>
          <t>R-018</t>
        </is>
      </c>
      <c r="B23" s="22" t="inlineStr">
        <is>
          <t>2026-10-06</t>
        </is>
      </c>
      <c r="C23" s="27" t="inlineStr">
        <is>
          <t>Reporte de Eficiencia de Atención</t>
        </is>
      </c>
      <c r="D23" s="22" t="inlineStr">
        <is>
          <t>PDF</t>
        </is>
      </c>
      <c r="E23" s="28" t="n">
        <v>30</v>
      </c>
      <c r="F23" s="28" t="n">
        <v>1.62</v>
      </c>
      <c r="G23" s="28" t="n">
        <v>340</v>
      </c>
      <c r="H23" s="29" t="inlineStr">
        <is>
          <t>OK</t>
        </is>
      </c>
    </row>
    <row r="24" ht="20" customHeight="1">
      <c r="A24" s="22" t="inlineStr">
        <is>
          <t>R-019</t>
        </is>
      </c>
      <c r="B24" s="22" t="inlineStr">
        <is>
          <t>2026-10-06</t>
        </is>
      </c>
      <c r="C24" s="27" t="inlineStr">
        <is>
          <t>Comprobante Tratamiento TRAT-000010</t>
        </is>
      </c>
      <c r="D24" s="22" t="inlineStr">
        <is>
          <t>PDF</t>
        </is>
      </c>
      <c r="E24" s="28" t="n">
        <v>1</v>
      </c>
      <c r="F24" s="28" t="n">
        <v>0.8</v>
      </c>
      <c r="G24" s="28" t="n">
        <v>145</v>
      </c>
      <c r="H24" s="29" t="inlineStr">
        <is>
          <t>OK</t>
        </is>
      </c>
    </row>
    <row r="25" ht="20" customHeight="1">
      <c r="A25" s="22" t="inlineStr">
        <is>
          <t>R-020</t>
        </is>
      </c>
      <c r="B25" s="22" t="inlineStr">
        <is>
          <t>2026-10-06</t>
        </is>
      </c>
      <c r="C25" s="27" t="inlineStr">
        <is>
          <t>Resumen de Tratamientos Mensuales</t>
        </is>
      </c>
      <c r="D25" s="22" t="inlineStr">
        <is>
          <t>Excel</t>
        </is>
      </c>
      <c r="E25" s="28" t="n">
        <v>240</v>
      </c>
      <c r="F25" s="28" t="n">
        <v>1.58</v>
      </c>
      <c r="G25" s="28" t="n">
        <v>350</v>
      </c>
      <c r="H25" s="29" t="inlineStr">
        <is>
          <t>OK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46" customWidth="1" min="7" max="7"/>
  </cols>
  <sheetData>
    <row r="1" ht="36" customHeight="1">
      <c r="A1" s="1" t="inlineStr">
        <is>
          <t>Métricas de reportes</t>
        </is>
      </c>
    </row>
    <row r="2" ht="18" customHeight="1">
      <c r="A2" s="2" t="inlineStr">
        <is>
          <t>Valores calculados desde la hoja Datos. La Meta (azul) es editable. Sin datos -&gt; NA.</t>
        </is>
      </c>
    </row>
    <row r="4" ht="24" customHeight="1">
      <c r="A4" s="21" t="inlineStr">
        <is>
          <t>Métrica</t>
        </is>
      </c>
      <c r="B4" s="20" t="inlineStr">
        <is>
          <t>Valor</t>
        </is>
      </c>
      <c r="C4" s="20" t="inlineStr">
        <is>
          <t>Meta</t>
        </is>
      </c>
      <c r="D4" s="20" t="inlineStr">
        <is>
          <t>Unidad</t>
        </is>
      </c>
      <c r="E4" s="20" t="inlineStr">
        <is>
          <t>Cumplimiento</t>
        </is>
      </c>
      <c r="F4" s="20" t="inlineStr">
        <is>
          <t>Estado</t>
        </is>
      </c>
      <c r="G4" s="21" t="inlineStr">
        <is>
          <t>Cómo se calcula</t>
        </is>
      </c>
    </row>
    <row r="5" ht="22" customHeight="1">
      <c r="A5" s="12" t="inlineStr">
        <is>
          <t>Reportes registrados</t>
        </is>
      </c>
      <c r="B5" s="22">
        <f>COUNTA(Datos!C6:C37)</f>
        <v/>
      </c>
      <c r="C5" s="22" t="inlineStr">
        <is>
          <t>NA</t>
        </is>
      </c>
      <c r="D5" s="22" t="inlineStr">
        <is>
          <t>reportes</t>
        </is>
      </c>
      <c r="E5" s="22" t="inlineStr">
        <is>
          <t>NA</t>
        </is>
      </c>
      <c r="F5" s="13" t="inlineStr">
        <is>
          <t>Informativo</t>
        </is>
      </c>
      <c r="G5" s="12" t="inlineStr">
        <is>
          <t>Reportes con nombre != NA (la fila EJEMPLO no cuenta)</t>
        </is>
      </c>
    </row>
    <row r="6" ht="22" customHeight="1">
      <c r="A6" s="12" t="inlineStr">
        <is>
          <t>Total de registros exportados</t>
        </is>
      </c>
      <c r="B6" s="22">
        <f>SUM(Datos!E6:E37)</f>
        <v/>
      </c>
      <c r="C6" s="22" t="inlineStr">
        <is>
          <t>NA</t>
        </is>
      </c>
      <c r="D6" s="22" t="inlineStr">
        <is>
          <t>filas</t>
        </is>
      </c>
      <c r="E6" s="22" t="inlineStr">
        <is>
          <t>NA</t>
        </is>
      </c>
      <c r="F6" s="13" t="inlineStr">
        <is>
          <t>Informativo</t>
        </is>
      </c>
      <c r="G6" s="12" t="inlineStr">
        <is>
          <t>Suma de Registros</t>
        </is>
      </c>
    </row>
    <row r="7" ht="22" customHeight="1">
      <c r="A7" s="12" t="inlineStr">
        <is>
          <t>Tiempo promedio de generación</t>
        </is>
      </c>
      <c r="B7" s="30">
        <f>AVERAGE(Datos!F6:F37)</f>
        <v/>
      </c>
      <c r="C7" s="30" t="n">
        <v>3</v>
      </c>
      <c r="D7" s="22" t="inlineStr">
        <is>
          <t>seg</t>
        </is>
      </c>
      <c r="E7" s="31">
        <f>C7/B7</f>
        <v/>
      </c>
      <c r="F7" s="10" t="inlineStr">
        <is>
          <t>Cumple</t>
        </is>
      </c>
      <c r="G7" s="12" t="inlineStr">
        <is>
          <t>Promedio de Tiempo (menor es mejor: Meta/Valor)</t>
        </is>
      </c>
    </row>
    <row r="8" ht="22" customHeight="1">
      <c r="A8" s="12" t="inlineStr">
        <is>
          <t>Tiempo máximo</t>
        </is>
      </c>
      <c r="B8" s="30">
        <f>MAX(Datos!F6:F37)</f>
        <v/>
      </c>
      <c r="C8" s="30" t="n">
        <v>10</v>
      </c>
      <c r="D8" s="22" t="inlineStr">
        <is>
          <t>seg</t>
        </is>
      </c>
      <c r="E8" s="31">
        <f>C8/B8</f>
        <v/>
      </c>
      <c r="F8" s="10" t="inlineStr">
        <is>
          <t>Cumple</t>
        </is>
      </c>
      <c r="G8" s="12" t="inlineStr">
        <is>
          <t>Máximo de Tiempo (menor es mejor: Meta/Valor)</t>
        </is>
      </c>
    </row>
    <row r="9" ht="22" customHeight="1">
      <c r="A9" s="12" t="inlineStr">
        <is>
          <t>Tamaño promedio de archivo</t>
        </is>
      </c>
      <c r="B9" s="32">
        <f>AVERAGE(Datos!G6:G37)</f>
        <v/>
      </c>
      <c r="C9" s="32" t="n">
        <v>1024</v>
      </c>
      <c r="D9" s="22" t="inlineStr">
        <is>
          <t>KB</t>
        </is>
      </c>
      <c r="E9" s="31">
        <f>C9/B9</f>
        <v/>
      </c>
      <c r="F9" s="10" t="inlineStr">
        <is>
          <t>Cumple</t>
        </is>
      </c>
      <c r="G9" s="12" t="inlineStr">
        <is>
          <t>Promedio de Tamaño (menor es mejor: Meta/Valor)</t>
        </is>
      </c>
    </row>
    <row r="10" ht="22" customHeight="1">
      <c r="A10" s="12" t="inlineStr">
        <is>
          <t>Tasa de éxito</t>
        </is>
      </c>
      <c r="B10" s="31">
        <f>COUNTIF(Datos!H6:H37, "OK")/(COUNTIF(Datos!H6:H37, "OK")+COUNTIF(Datos!H6:H37, "Error"))</f>
        <v/>
      </c>
      <c r="C10" s="31" t="n">
        <v>0.98</v>
      </c>
      <c r="D10" s="22" t="inlineStr">
        <is>
          <t>%</t>
        </is>
      </c>
      <c r="E10" s="31">
        <f>B10/C10</f>
        <v/>
      </c>
      <c r="F10" s="10" t="inlineStr">
        <is>
          <t>Cumple</t>
        </is>
      </c>
      <c r="G10" s="12" t="inlineStr">
        <is>
          <t>OK / (OK + Error) (mayor es mejor: Valor/Meta)</t>
        </is>
      </c>
    </row>
    <row r="11" ht="22" customHeight="1">
      <c r="A11" s="12" t="inlineStr">
        <is>
          <t>Cumplimiento del checklist PR</t>
        </is>
      </c>
      <c r="B11" s="31">
        <f>'Checklist PR'!D5</f>
        <v/>
      </c>
      <c r="C11" s="31" t="n">
        <v>1</v>
      </c>
      <c r="D11" s="22" t="inlineStr">
        <is>
          <t>%</t>
        </is>
      </c>
      <c r="E11" s="31">
        <f>Resumen!E5/C11</f>
        <v/>
      </c>
      <c r="F11" s="10" t="inlineStr">
        <is>
          <t>Cumple</t>
        </is>
      </c>
      <c r="G11" s="12" t="inlineStr">
        <is>
          <t>Cumple / (Cumple + No cumple). Pendiente y NA se excluyen</t>
        </is>
      </c>
    </row>
    <row r="12" ht="22" customHeight="1">
      <c r="A12" s="12" t="inlineStr">
        <is>
          <t>Avance de revisión del checklist</t>
        </is>
      </c>
      <c r="B12" s="31">
        <f>(Resumen!B9+Resumen!B10)/(Resumen!B9+Resumen!B10+Resumen!B11)</f>
        <v/>
      </c>
      <c r="C12" s="31" t="n">
        <v>1</v>
      </c>
      <c r="D12" s="22" t="inlineStr">
        <is>
          <t>%</t>
        </is>
      </c>
      <c r="E12" s="31">
        <f>B12/C12</f>
        <v/>
      </c>
      <c r="F12" s="10" t="inlineStr">
        <is>
          <t>Cumple</t>
        </is>
      </c>
      <c r="G12" s="12" t="inlineStr">
        <is>
          <t>(Cumple + No cumple) / Ítems aplicables (mayor es mejor)</t>
        </is>
      </c>
    </row>
    <row r="14">
      <c r="A14" s="33" t="inlineStr">
        <is>
          <t>Nota: Meta = valor objetivo asumido (editable). NA = aún no hay datos. Informativo = métrica de volumen sin meta.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</cols>
  <sheetData>
    <row r="1" ht="36" customHeight="1">
      <c r="A1" s="1" t="inlineStr">
        <is>
          <t>Reglas y guía de uso</t>
        </is>
      </c>
    </row>
    <row r="2" ht="18" customHeight="1">
      <c r="A2" s="2" t="inlineStr">
        <is>
          <t>Aquí está cómo funciona todo: estados, cálculos, NA y colores.</t>
        </is>
      </c>
    </row>
    <row r="4">
      <c r="A4" s="34" t="inlineStr">
        <is>
          <t>1. Cómo usar este archivo</t>
        </is>
      </c>
    </row>
    <row r="5">
      <c r="A5" s="35" t="inlineStr">
        <is>
          <t>Paso 1</t>
        </is>
      </c>
      <c r="B5" s="36" t="inlineStr">
        <is>
          <t>Hoja Checklist PR: elige el estado de cada ítem en la lista desplegable y completa evidencia, responsable y fecha.</t>
        </is>
      </c>
    </row>
    <row r="6">
      <c r="A6" s="35" t="inlineStr">
        <is>
          <t>Paso 2</t>
        </is>
      </c>
      <c r="B6" s="36" t="inlineStr">
        <is>
          <t>Hoja Datos: registra un reporte por fila (desde la fila 6, R-001 a R-050). La fila 5 (gris) es solo un ejemplo y no cuenta en las métricas.</t>
        </is>
      </c>
    </row>
    <row r="7">
      <c r="A7" s="35" t="inlineStr">
        <is>
          <t>Paso 3</t>
        </is>
      </c>
      <c r="B7" s="36" t="inlineStr">
        <is>
          <t>Hoja Métricas: ajusta las metas (celdas azules). Los valores se calculan solos.</t>
        </is>
      </c>
    </row>
    <row r="8">
      <c r="A8" s="35" t="inlineStr">
        <is>
          <t>Paso 4</t>
        </is>
      </c>
      <c r="B8" s="36" t="inlineStr">
        <is>
          <t>Hoja Resumen: revisa el dashboard; no requiere edición.</t>
        </is>
      </c>
    </row>
    <row r="10">
      <c r="A10" s="34" t="inlineStr">
        <is>
          <t>2. Estados del checklist</t>
        </is>
      </c>
    </row>
    <row r="11">
      <c r="A11" s="37" t="inlineStr">
        <is>
          <t>Estado</t>
        </is>
      </c>
      <c r="B11" s="37" t="inlineStr">
        <is>
          <t>Significado</t>
        </is>
      </c>
      <c r="F11" s="37" t="inlineStr">
        <is>
          <t>Cuenta en el %</t>
        </is>
      </c>
    </row>
    <row r="12">
      <c r="A12" s="38" t="inlineStr">
        <is>
          <t>Cumple</t>
        </is>
      </c>
      <c r="B12" s="36" t="inlineStr">
        <is>
          <t>El ítem está cumplido y tiene evidencia.</t>
        </is>
      </c>
      <c r="F12" s="36" t="inlineStr">
        <is>
          <t>Sí (suma)</t>
        </is>
      </c>
    </row>
    <row r="13">
      <c r="A13" s="39" t="inlineStr">
        <is>
          <t>No cumple</t>
        </is>
      </c>
      <c r="B13" s="36" t="inlineStr">
        <is>
          <t>El ítem se revisó y no cumple el estándar.</t>
        </is>
      </c>
      <c r="F13" s="36" t="inlineStr">
        <is>
          <t>Sí (resta)</t>
        </is>
      </c>
    </row>
    <row r="14">
      <c r="A14" s="40" t="inlineStr">
        <is>
          <t>Pendiente</t>
        </is>
      </c>
      <c r="B14" s="36" t="inlineStr">
        <is>
          <t>Aún no se revisa. No penaliza el % pero aparece como '(parcial)' en el estado global.</t>
        </is>
      </c>
      <c r="F14" s="36" t="inlineStr">
        <is>
          <t>No (se excluye; baja el avance)</t>
        </is>
      </c>
    </row>
    <row r="15">
      <c r="A15" s="41" t="inlineStr">
        <is>
          <t>NA</t>
        </is>
      </c>
      <c r="B15" s="36" t="inlineStr">
        <is>
          <t>No aplica o no hay dato.</t>
        </is>
      </c>
      <c r="F15" s="36" t="inlineStr">
        <is>
          <t>No (se excluye)</t>
        </is>
      </c>
    </row>
    <row r="17">
      <c r="A17" s="34" t="inlineStr">
        <is>
          <t>3. Reglas de cálculo</t>
        </is>
      </c>
    </row>
    <row r="19">
      <c r="A19" s="35" t="inlineStr">
        <is>
          <t>% cumplimiento checklist</t>
        </is>
      </c>
      <c r="B19" s="36" t="inlineStr">
        <is>
          <t>Cumple / (Cumple + No cumple). Pendiente y NA se excluyen.</t>
        </is>
      </c>
      <c r="F19" s="42" t="inlineStr">
        <is>
          <t>9 Cumple, 3 No cumple -&gt; 75%</t>
        </is>
      </c>
    </row>
    <row r="20">
      <c r="A20" s="35" t="inlineStr">
        <is>
          <t>Métrica donde MAYOR es mejor (tasa de éxito, cumplimiento)</t>
        </is>
      </c>
      <c r="B20" s="36" t="inlineStr">
        <is>
          <t>Cumplimiento = Valor / Meta</t>
        </is>
      </c>
      <c r="F20" s="42" t="inlineStr">
        <is>
          <t>Éxito 95% / Meta 98% -&gt; 96.9%</t>
        </is>
      </c>
    </row>
    <row r="21">
      <c r="A21" s="35" t="inlineStr">
        <is>
          <t>Métrica donde MENOR es mejor (tiempos, tamaño)</t>
        </is>
      </c>
      <c r="B21" s="36" t="inlineStr">
        <is>
          <t>Cumplimiento = Meta / Valor</t>
        </is>
      </c>
      <c r="F21" s="42" t="inlineStr">
        <is>
          <t>Tiempo 4 s / Meta 3 s -&gt; 75%</t>
        </is>
      </c>
    </row>
    <row r="22">
      <c r="A22" s="35" t="inlineStr">
        <is>
          <t>Estado de la métrica</t>
        </is>
      </c>
      <c r="B22" s="36" t="inlineStr">
        <is>
          <t>Cumple si Cumplimiento &gt;= 100%; si no, Revisar. Sin meta -&gt; Informativo.</t>
        </is>
      </c>
      <c r="F22" s="42" t="inlineStr">
        <is>
          <t>110% -&gt; Cumple</t>
        </is>
      </c>
    </row>
    <row r="23">
      <c r="A23" s="35" t="inlineStr">
        <is>
          <t>Tasa de éxito</t>
        </is>
      </c>
      <c r="B23" s="36" t="inlineStr">
        <is>
          <t>OK / (OK + Error). Las filas NA no cuentan.</t>
        </is>
      </c>
      <c r="F23" s="42" t="inlineStr">
        <is>
          <t>18 OK, 2 Error -&gt; 90%</t>
        </is>
      </c>
    </row>
    <row r="24">
      <c r="A24" s="35" t="inlineStr">
        <is>
          <t>Tiempo promedio / tamaño promedio</t>
        </is>
      </c>
      <c r="B24" s="36" t="inlineStr">
        <is>
          <t>Promedio solo de celdas numéricas (ignora NA).</t>
        </is>
      </c>
      <c r="F24" s="42" t="inlineStr">
        <is>
          <t>Calculado dinámicamente</t>
        </is>
      </c>
    </row>
    <row r="26">
      <c r="A26" s="34" t="inlineStr">
        <is>
          <t>4. Reglas de datos</t>
        </is>
      </c>
    </row>
    <row r="27">
      <c r="A27" s="35" t="inlineStr">
        <is>
          <t>Sin dato</t>
        </is>
      </c>
      <c r="B27" s="36" t="inlineStr">
        <is>
          <t>Escribe NA. Nunca dejes celdas con 0 si no hay dato real.</t>
        </is>
      </c>
    </row>
    <row r="28">
      <c r="A28" s="35" t="inlineStr">
        <is>
          <t>Si no hay datos en Datos</t>
        </is>
      </c>
      <c r="B28" s="36" t="inlineStr">
        <is>
          <t>Las métricas muestran NA automáticamente (la fila de ejemplo no cuenta).</t>
        </is>
      </c>
    </row>
    <row r="29">
      <c r="A29" s="35" t="inlineStr">
        <is>
          <t>Fechas</t>
        </is>
      </c>
      <c r="B29" s="36" t="inlineStr">
        <is>
          <t>Formato ISO-8601: AAAA-MM-DD (ej. 2026-10-06).</t>
        </is>
      </c>
    </row>
    <row r="30">
      <c r="A30" s="35" t="inlineStr">
        <is>
          <t>Formato (columna D)</t>
        </is>
      </c>
      <c r="B30" s="36" t="inlineStr">
        <is>
          <t>PDF, Excel, CSV o NA (lista desplegable).</t>
        </is>
      </c>
    </row>
    <row r="31">
      <c r="A31" s="35" t="inlineStr">
        <is>
          <t>Resultado (columna H)</t>
        </is>
      </c>
      <c r="B31" s="36" t="inlineStr">
        <is>
          <t>OK, Error o NA (lista desplegable).</t>
        </is>
      </c>
    </row>
  </sheetData>
  <mergeCells count="37">
    <mergeCell ref="F11:G11"/>
    <mergeCell ref="A17:G17"/>
    <mergeCell ref="F19:G19"/>
    <mergeCell ref="A4:G4"/>
    <mergeCell ref="B8:G8"/>
    <mergeCell ref="B15:E15"/>
    <mergeCell ref="B24:E24"/>
    <mergeCell ref="B20:E20"/>
    <mergeCell ref="B29:G29"/>
    <mergeCell ref="A10:G10"/>
    <mergeCell ref="F21:G21"/>
    <mergeCell ref="F12:G12"/>
    <mergeCell ref="F24:G24"/>
    <mergeCell ref="B28:G28"/>
    <mergeCell ref="F15:G15"/>
    <mergeCell ref="F20:G20"/>
    <mergeCell ref="B30:G30"/>
    <mergeCell ref="B22:E22"/>
    <mergeCell ref="B6:G6"/>
    <mergeCell ref="A1:G1"/>
    <mergeCell ref="B5:G5"/>
    <mergeCell ref="B12:E12"/>
    <mergeCell ref="B21:E21"/>
    <mergeCell ref="F23:G23"/>
    <mergeCell ref="B11:E11"/>
    <mergeCell ref="F22:G22"/>
    <mergeCell ref="F13:G13"/>
    <mergeCell ref="B7:G7"/>
    <mergeCell ref="B14:E14"/>
    <mergeCell ref="B23:E23"/>
    <mergeCell ref="B13:E13"/>
    <mergeCell ref="B31:G31"/>
    <mergeCell ref="B27:G27"/>
    <mergeCell ref="A26:G26"/>
    <mergeCell ref="A2:G2"/>
    <mergeCell ref="F14:G14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2026-10-07T04:25:41Z</dcterms:created>
  <dcterms:modified xsi:type="dcterms:W3CDTF">2026-10-07T04:25:41Z</dcterms:modified>
</cp:coreProperties>
</file>